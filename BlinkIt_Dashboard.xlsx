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e6fad1bf748a9e6/Desktop/Tharun/Projects/"/>
    </mc:Choice>
  </mc:AlternateContent>
  <xr:revisionPtr revIDLastSave="6" documentId="8_{73C67FD0-655C-405B-95DA-350B17B02C26}" xr6:coauthVersionLast="47" xr6:coauthVersionMax="47" xr10:uidLastSave="{A9B66423-8F5F-4EBC-B31C-D35287B50DF8}"/>
  <bookViews>
    <workbookView xWindow="-108" yWindow="-108" windowWidth="23256" windowHeight="12456" xr2:uid="{EF848525-F277-4CE7-84E8-C8F9E27D3FA5}"/>
  </bookViews>
  <sheets>
    <sheet name="Dashboard" sheetId="5" r:id="rId1"/>
    <sheet name="Revenue_Margin" sheetId="2" r:id="rId2"/>
    <sheet name="Inventory_Shrinkage" sheetId="3" r:id="rId3"/>
    <sheet name="Marketing_Efficiency" sheetId="4" r:id="rId4"/>
    <sheet name="Canvas" sheetId="1" r:id="rId5"/>
  </sheets>
  <definedNames>
    <definedName name="ExternalData_1" localSheetId="1" hidden="1">'Revenue_Margin'!$A$1:$E$12</definedName>
    <definedName name="ExternalData_2" localSheetId="2" hidden="1">Inventory_Shrinkage!$A$1:$E$12</definedName>
    <definedName name="ExternalData_3" localSheetId="3" hidden="1">Marketing_Efficiency!$A$1:$F$5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B6" i="4"/>
  <c r="D6" i="4"/>
  <c r="G5" i="3"/>
  <c r="B13" i="3"/>
  <c r="C13" i="3"/>
  <c r="H8" i="2"/>
  <c r="E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E6283-3B01-4965-AAC7-FF5D4B6A97E8}" keepAlive="1" name="Query - Inventory_Shrinkage" description="Connection to the 'Inventory_Shrinkage' query in the workbook." type="5" refreshedVersion="8" background="1" saveData="1">
    <dbPr connection="Provider=Microsoft.Mashup.OleDb.1;Data Source=$Workbook$;Location=Inventory_Shrinkage;Extended Properties=&quot;&quot;" command="SELECT * FROM [Inventory_Shrinkage]"/>
  </connection>
  <connection id="2" xr16:uid="{3611F499-57E1-4BCF-9181-5BE81DB5C259}" keepAlive="1" name="Query - Marketing_Efficiency" description="Connection to the 'Marketing_Efficiency' query in the workbook." type="5" refreshedVersion="8" background="1" saveData="1">
    <dbPr connection="Provider=Microsoft.Mashup.OleDb.1;Data Source=$Workbook$;Location=Marketing_Efficiency;Extended Properties=&quot;&quot;" command="SELECT * FROM [Marketing_Efficiency]"/>
  </connection>
  <connection id="3" xr16:uid="{617E7DCB-D616-4D61-9F9E-3532A1C06D7A}" keepAlive="1" name="Query - Revenue_Margin" description="Connection to the 'Revenue_Margin' query in the workbook." type="5" refreshedVersion="8" background="1" saveData="1">
    <dbPr connection="Provider=Microsoft.Mashup.OleDb.1;Data Source=$Workbook$;Location=Revenue_Margin;Extended Properties=&quot;&quot;" command="SELECT * FROM [Revenue_Margin]"/>
  </connection>
</connections>
</file>

<file path=xl/sharedStrings.xml><?xml version="1.0" encoding="utf-8"?>
<sst xmlns="http://schemas.openxmlformats.org/spreadsheetml/2006/main" count="46" uniqueCount="33">
  <si>
    <t>category</t>
  </si>
  <si>
    <t>total_orders</t>
  </si>
  <si>
    <t>total_revenue</t>
  </si>
  <si>
    <t>avg_profit_margin</t>
  </si>
  <si>
    <t>estimated_gross_profit</t>
  </si>
  <si>
    <t>Baby Care</t>
  </si>
  <si>
    <t>Cold Drinks &amp; Juices</t>
  </si>
  <si>
    <t>Dairy &amp; Breakfast</t>
  </si>
  <si>
    <t>Fruits &amp; Vegetables</t>
  </si>
  <si>
    <t>Grocery &amp; Staples</t>
  </si>
  <si>
    <t>Household Care</t>
  </si>
  <si>
    <t>Instant &amp; Frozen Food</t>
  </si>
  <si>
    <t>Personal Care</t>
  </si>
  <si>
    <t>Pet Care</t>
  </si>
  <si>
    <t>Pharmacy</t>
  </si>
  <si>
    <t>Snacks &amp; Munchies</t>
  </si>
  <si>
    <t>total_stock_received</t>
  </si>
  <si>
    <t>total_damaged_stock</t>
  </si>
  <si>
    <t>damage_rate_percentage</t>
  </si>
  <si>
    <t>estimated_financial_loss</t>
  </si>
  <si>
    <t>channel</t>
  </si>
  <si>
    <t>total_spend</t>
  </si>
  <si>
    <t>total_conversions</t>
  </si>
  <si>
    <t>customer_acquisition_cost_cac</t>
  </si>
  <si>
    <t>overall_roas</t>
  </si>
  <si>
    <t>Email</t>
  </si>
  <si>
    <t>Social Media</t>
  </si>
  <si>
    <t>App</t>
  </si>
  <si>
    <t>SMS</t>
  </si>
  <si>
    <t>Blinkit Financial &amp; Operations Dashboard</t>
  </si>
  <si>
    <t>Estimated Gross Profit</t>
  </si>
  <si>
    <t>Inventory Damage Rate</t>
  </si>
  <si>
    <t>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</si>
</sst>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Calibri"/>
      <family val="2"/>
    </font>
    <font>
      <b/>
      <i/>
      <sz val="2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8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99"/>
      <color rgb="FF0C831F"/>
      <color rgb="FFF8CB4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&amp; Profit Margin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'Revenue_Margin'!$C$1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'Revenue_Margin'!$A$2:$A$13</c:f>
              <c:strCache>
                <c:ptCount val="11"/>
                <c:pt idx="0">
                  <c:v>Baby Care</c:v>
                </c:pt>
                <c:pt idx="1">
                  <c:v>Cold Drinks &amp; Juices</c:v>
                </c:pt>
                <c:pt idx="2">
                  <c:v>Dairy &amp; Breakfast</c:v>
                </c:pt>
                <c:pt idx="3">
                  <c:v>Fruits &amp; Vegetables</c:v>
                </c:pt>
                <c:pt idx="4">
                  <c:v>Grocery &amp; Staples</c:v>
                </c:pt>
                <c:pt idx="5">
                  <c:v>Household Care</c:v>
                </c:pt>
                <c:pt idx="6">
                  <c:v>Instant &amp; Frozen Food</c:v>
                </c:pt>
                <c:pt idx="7">
                  <c:v>Personal Care</c:v>
                </c:pt>
                <c:pt idx="8">
                  <c:v>Pet Care</c:v>
                </c:pt>
                <c:pt idx="9">
                  <c:v>Pharmacy</c:v>
                </c:pt>
                <c:pt idx="10">
                  <c:v>Snacks &amp; Munchies</c:v>
                </c:pt>
              </c:strCache>
            </c:strRef>
          </c:cat>
          <c:val>
            <c:numRef>
              <c:f>'Revenue_Margin'!$C$2:$C$13</c:f>
              <c:numCache>
                <c:formatCode>General</c:formatCode>
                <c:ptCount val="11"/>
                <c:pt idx="0">
                  <c:v>348227.18</c:v>
                </c:pt>
                <c:pt idx="1">
                  <c:v>392717.62</c:v>
                </c:pt>
                <c:pt idx="2">
                  <c:v>639222.18999999994</c:v>
                </c:pt>
                <c:pt idx="3">
                  <c:v>559053.07999999996</c:v>
                </c:pt>
                <c:pt idx="4">
                  <c:v>359937.82</c:v>
                </c:pt>
                <c:pt idx="5">
                  <c:v>444244.25</c:v>
                </c:pt>
                <c:pt idx="6">
                  <c:v>307212.65000000002</c:v>
                </c:pt>
                <c:pt idx="7">
                  <c:v>394894.61</c:v>
                </c:pt>
                <c:pt idx="8">
                  <c:v>539888.75</c:v>
                </c:pt>
                <c:pt idx="9">
                  <c:v>592368.56999999995</c:v>
                </c:pt>
                <c:pt idx="10">
                  <c:v>394648.71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E-4919-A39A-36C669144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022159"/>
        <c:axId val="2046617103"/>
      </c:barChart>
      <c:lineChart>
        <c:grouping val="standard"/>
        <c:varyColors val="0"/>
        <c:ser>
          <c:idx val="1"/>
          <c:order val="1"/>
          <c:tx>
            <c:strRef>
              <c:f>'Revenue_Margin'!$D$1</c:f>
              <c:strCache>
                <c:ptCount val="1"/>
                <c:pt idx="0">
                  <c:v>avg_profit_margin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'Revenue_Margin'!$A$2:$A$13</c:f>
              <c:strCache>
                <c:ptCount val="11"/>
                <c:pt idx="0">
                  <c:v>Baby Care</c:v>
                </c:pt>
                <c:pt idx="1">
                  <c:v>Cold Drinks &amp; Juices</c:v>
                </c:pt>
                <c:pt idx="2">
                  <c:v>Dairy &amp; Breakfast</c:v>
                </c:pt>
                <c:pt idx="3">
                  <c:v>Fruits &amp; Vegetables</c:v>
                </c:pt>
                <c:pt idx="4">
                  <c:v>Grocery &amp; Staples</c:v>
                </c:pt>
                <c:pt idx="5">
                  <c:v>Household Care</c:v>
                </c:pt>
                <c:pt idx="6">
                  <c:v>Instant &amp; Frozen Food</c:v>
                </c:pt>
                <c:pt idx="7">
                  <c:v>Personal Care</c:v>
                </c:pt>
                <c:pt idx="8">
                  <c:v>Pet Care</c:v>
                </c:pt>
                <c:pt idx="9">
                  <c:v>Pharmacy</c:v>
                </c:pt>
                <c:pt idx="10">
                  <c:v>Snacks &amp; Munchies</c:v>
                </c:pt>
              </c:strCache>
            </c:strRef>
          </c:cat>
          <c:val>
            <c:numRef>
              <c:f>'Revenue_Margin'!$D$2:$D$13</c:f>
              <c:numCache>
                <c:formatCode>General</c:formatCode>
                <c:ptCount val="11"/>
                <c:pt idx="0">
                  <c:v>30</c:v>
                </c:pt>
                <c:pt idx="1">
                  <c:v>30</c:v>
                </c:pt>
                <c:pt idx="2">
                  <c:v>20</c:v>
                </c:pt>
                <c:pt idx="3">
                  <c:v>25</c:v>
                </c:pt>
                <c:pt idx="4">
                  <c:v>15</c:v>
                </c:pt>
                <c:pt idx="5">
                  <c:v>25</c:v>
                </c:pt>
                <c:pt idx="6">
                  <c:v>40</c:v>
                </c:pt>
                <c:pt idx="7">
                  <c:v>35</c:v>
                </c:pt>
                <c:pt idx="8">
                  <c:v>35</c:v>
                </c:pt>
                <c:pt idx="9">
                  <c:v>20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EE-4919-A39A-36C669144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048607"/>
        <c:axId val="2046620463"/>
      </c:lineChart>
      <c:catAx>
        <c:axId val="203402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17103"/>
        <c:crosses val="autoZero"/>
        <c:auto val="1"/>
        <c:lblAlgn val="ctr"/>
        <c:lblOffset val="100"/>
        <c:noMultiLvlLbl val="0"/>
      </c:catAx>
      <c:valAx>
        <c:axId val="20466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022159"/>
        <c:crosses val="autoZero"/>
        <c:crossBetween val="between"/>
      </c:valAx>
      <c:valAx>
        <c:axId val="20466204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048607"/>
        <c:crosses val="max"/>
        <c:crossBetween val="between"/>
      </c:valAx>
      <c:catAx>
        <c:axId val="2034048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6620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Estimated Financial Loss by Category (Shrinkage)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Inventory_Shrinkage!$E$1</c:f>
              <c:strCache>
                <c:ptCount val="1"/>
                <c:pt idx="0">
                  <c:v>estimated_financial_loss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Inventory_Shrinkage!$A$2:$A$12</c:f>
              <c:strCache>
                <c:ptCount val="11"/>
                <c:pt idx="0">
                  <c:v>Baby Care</c:v>
                </c:pt>
                <c:pt idx="1">
                  <c:v>Personal Care</c:v>
                </c:pt>
                <c:pt idx="2">
                  <c:v>Fruits &amp; Vegetables</c:v>
                </c:pt>
                <c:pt idx="3">
                  <c:v>Dairy &amp; Breakfast</c:v>
                </c:pt>
                <c:pt idx="4">
                  <c:v>Household Care</c:v>
                </c:pt>
                <c:pt idx="5">
                  <c:v>Pharmacy</c:v>
                </c:pt>
                <c:pt idx="6">
                  <c:v>Instant &amp; Frozen Food</c:v>
                </c:pt>
                <c:pt idx="7">
                  <c:v>Pet Care</c:v>
                </c:pt>
                <c:pt idx="8">
                  <c:v>Grocery &amp; Staples</c:v>
                </c:pt>
                <c:pt idx="9">
                  <c:v>Cold Drinks &amp; Juices</c:v>
                </c:pt>
                <c:pt idx="10">
                  <c:v>Snacks &amp; Munchies</c:v>
                </c:pt>
              </c:strCache>
            </c:strRef>
          </c:cat>
          <c:val>
            <c:numRef>
              <c:f>Inventory_Shrinkage!$E$2:$E$12</c:f>
              <c:numCache>
                <c:formatCode>General</c:formatCode>
                <c:ptCount val="11"/>
                <c:pt idx="0">
                  <c:v>17008.28</c:v>
                </c:pt>
                <c:pt idx="1">
                  <c:v>23660.58</c:v>
                </c:pt>
                <c:pt idx="2">
                  <c:v>48318.59</c:v>
                </c:pt>
                <c:pt idx="3">
                  <c:v>58524.73</c:v>
                </c:pt>
                <c:pt idx="4">
                  <c:v>34787.300000000003</c:v>
                </c:pt>
                <c:pt idx="5">
                  <c:v>42103.71</c:v>
                </c:pt>
                <c:pt idx="6">
                  <c:v>24302.02</c:v>
                </c:pt>
                <c:pt idx="7">
                  <c:v>37679.33</c:v>
                </c:pt>
                <c:pt idx="8">
                  <c:v>43556.05</c:v>
                </c:pt>
                <c:pt idx="9">
                  <c:v>28421.16</c:v>
                </c:pt>
                <c:pt idx="10">
                  <c:v>28220.1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4-47C9-9A09-FC8E144D68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7184015"/>
        <c:axId val="1887819855"/>
      </c:barChart>
      <c:catAx>
        <c:axId val="90718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19855"/>
        <c:crosses val="autoZero"/>
        <c:auto val="1"/>
        <c:lblAlgn val="ctr"/>
        <c:lblOffset val="100"/>
        <c:noMultiLvlLbl val="0"/>
      </c:catAx>
      <c:valAx>
        <c:axId val="1887819855"/>
        <c:scaling>
          <c:orientation val="minMax"/>
        </c:scaling>
        <c:delete val="0"/>
        <c:axPos val="b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8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Return on Ad Spend (ROAS) by Channel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Marketing_Efficiency!$F$1</c:f>
              <c:strCache>
                <c:ptCount val="1"/>
                <c:pt idx="0">
                  <c:v>overall_roas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Marketing_Efficiency!$A$2:$A$5</c:f>
              <c:strCache>
                <c:ptCount val="4"/>
                <c:pt idx="0">
                  <c:v>Email</c:v>
                </c:pt>
                <c:pt idx="1">
                  <c:v>Social Media</c:v>
                </c:pt>
                <c:pt idx="2">
                  <c:v>App</c:v>
                </c:pt>
                <c:pt idx="3">
                  <c:v>SMS</c:v>
                </c:pt>
              </c:strCache>
            </c:strRef>
          </c:cat>
          <c:val>
            <c:numRef>
              <c:f>Marketing_Efficiency!$F$2:$F$5</c:f>
              <c:numCache>
                <c:formatCode>General</c:formatCode>
                <c:ptCount val="4"/>
                <c:pt idx="0">
                  <c:v>2.0499999999999998</c:v>
                </c:pt>
                <c:pt idx="1">
                  <c:v>1.94</c:v>
                </c:pt>
                <c:pt idx="2">
                  <c:v>1.92</c:v>
                </c:pt>
                <c:pt idx="3">
                  <c:v>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7-4950-8D5A-70AE54EA38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5"/>
        <c:overlap val="-27"/>
        <c:axId val="2033967407"/>
        <c:axId val="1887927375"/>
      </c:barChart>
      <c:catAx>
        <c:axId val="2033967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927375"/>
        <c:crosses val="autoZero"/>
        <c:auto val="1"/>
        <c:lblAlgn val="ctr"/>
        <c:lblOffset val="100"/>
        <c:noMultiLvlLbl val="0"/>
      </c:catAx>
      <c:valAx>
        <c:axId val="1887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6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&amp; Profit Margin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'Revenue_Margin'!$C$1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'Revenue_Margin'!$A$2:$A$13</c:f>
              <c:strCache>
                <c:ptCount val="11"/>
                <c:pt idx="0">
                  <c:v>Baby Care</c:v>
                </c:pt>
                <c:pt idx="1">
                  <c:v>Cold Drinks &amp; Juices</c:v>
                </c:pt>
                <c:pt idx="2">
                  <c:v>Dairy &amp; Breakfast</c:v>
                </c:pt>
                <c:pt idx="3">
                  <c:v>Fruits &amp; Vegetables</c:v>
                </c:pt>
                <c:pt idx="4">
                  <c:v>Grocery &amp; Staples</c:v>
                </c:pt>
                <c:pt idx="5">
                  <c:v>Household Care</c:v>
                </c:pt>
                <c:pt idx="6">
                  <c:v>Instant &amp; Frozen Food</c:v>
                </c:pt>
                <c:pt idx="7">
                  <c:v>Personal Care</c:v>
                </c:pt>
                <c:pt idx="8">
                  <c:v>Pet Care</c:v>
                </c:pt>
                <c:pt idx="9">
                  <c:v>Pharmacy</c:v>
                </c:pt>
                <c:pt idx="10">
                  <c:v>Snacks &amp; Munchies</c:v>
                </c:pt>
              </c:strCache>
            </c:strRef>
          </c:cat>
          <c:val>
            <c:numRef>
              <c:f>'Revenue_Margin'!$C$2:$C$13</c:f>
              <c:numCache>
                <c:formatCode>General</c:formatCode>
                <c:ptCount val="11"/>
                <c:pt idx="0">
                  <c:v>348227.18</c:v>
                </c:pt>
                <c:pt idx="1">
                  <c:v>392717.62</c:v>
                </c:pt>
                <c:pt idx="2">
                  <c:v>639222.18999999994</c:v>
                </c:pt>
                <c:pt idx="3">
                  <c:v>559053.07999999996</c:v>
                </c:pt>
                <c:pt idx="4">
                  <c:v>359937.82</c:v>
                </c:pt>
                <c:pt idx="5">
                  <c:v>444244.25</c:v>
                </c:pt>
                <c:pt idx="6">
                  <c:v>307212.65000000002</c:v>
                </c:pt>
                <c:pt idx="7">
                  <c:v>394894.61</c:v>
                </c:pt>
                <c:pt idx="8">
                  <c:v>539888.75</c:v>
                </c:pt>
                <c:pt idx="9">
                  <c:v>592368.56999999995</c:v>
                </c:pt>
                <c:pt idx="10">
                  <c:v>394648.71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B-4A9D-8C75-C6D02B13A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022159"/>
        <c:axId val="2046617103"/>
      </c:barChart>
      <c:lineChart>
        <c:grouping val="standard"/>
        <c:varyColors val="0"/>
        <c:ser>
          <c:idx val="1"/>
          <c:order val="1"/>
          <c:tx>
            <c:strRef>
              <c:f>'Revenue_Margin'!$D$1</c:f>
              <c:strCache>
                <c:ptCount val="1"/>
                <c:pt idx="0">
                  <c:v>avg_profit_margin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'Revenue_Margin'!$A$2:$A$13</c:f>
              <c:strCache>
                <c:ptCount val="11"/>
                <c:pt idx="0">
                  <c:v>Baby Care</c:v>
                </c:pt>
                <c:pt idx="1">
                  <c:v>Cold Drinks &amp; Juices</c:v>
                </c:pt>
                <c:pt idx="2">
                  <c:v>Dairy &amp; Breakfast</c:v>
                </c:pt>
                <c:pt idx="3">
                  <c:v>Fruits &amp; Vegetables</c:v>
                </c:pt>
                <c:pt idx="4">
                  <c:v>Grocery &amp; Staples</c:v>
                </c:pt>
                <c:pt idx="5">
                  <c:v>Household Care</c:v>
                </c:pt>
                <c:pt idx="6">
                  <c:v>Instant &amp; Frozen Food</c:v>
                </c:pt>
                <c:pt idx="7">
                  <c:v>Personal Care</c:v>
                </c:pt>
                <c:pt idx="8">
                  <c:v>Pet Care</c:v>
                </c:pt>
                <c:pt idx="9">
                  <c:v>Pharmacy</c:v>
                </c:pt>
                <c:pt idx="10">
                  <c:v>Snacks &amp; Munchies</c:v>
                </c:pt>
              </c:strCache>
            </c:strRef>
          </c:cat>
          <c:val>
            <c:numRef>
              <c:f>'Revenue_Margin'!$D$2:$D$13</c:f>
              <c:numCache>
                <c:formatCode>General</c:formatCode>
                <c:ptCount val="11"/>
                <c:pt idx="0">
                  <c:v>30</c:v>
                </c:pt>
                <c:pt idx="1">
                  <c:v>30</c:v>
                </c:pt>
                <c:pt idx="2">
                  <c:v>20</c:v>
                </c:pt>
                <c:pt idx="3">
                  <c:v>25</c:v>
                </c:pt>
                <c:pt idx="4">
                  <c:v>15</c:v>
                </c:pt>
                <c:pt idx="5">
                  <c:v>25</c:v>
                </c:pt>
                <c:pt idx="6">
                  <c:v>40</c:v>
                </c:pt>
                <c:pt idx="7">
                  <c:v>35</c:v>
                </c:pt>
                <c:pt idx="8">
                  <c:v>35</c:v>
                </c:pt>
                <c:pt idx="9">
                  <c:v>20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B-4A9D-8C75-C6D02B13A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048607"/>
        <c:axId val="2046620463"/>
      </c:lineChart>
      <c:catAx>
        <c:axId val="203402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17103"/>
        <c:crosses val="autoZero"/>
        <c:auto val="1"/>
        <c:lblAlgn val="ctr"/>
        <c:lblOffset val="100"/>
        <c:noMultiLvlLbl val="0"/>
      </c:catAx>
      <c:valAx>
        <c:axId val="20466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022159"/>
        <c:crosses val="autoZero"/>
        <c:crossBetween val="between"/>
      </c:valAx>
      <c:valAx>
        <c:axId val="20466204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048607"/>
        <c:crosses val="max"/>
        <c:crossBetween val="between"/>
      </c:valAx>
      <c:catAx>
        <c:axId val="2034048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6620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Estimated Financial Loss by Category (Shrinkage)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Inventory_Shrinkage!$E$1</c:f>
              <c:strCache>
                <c:ptCount val="1"/>
                <c:pt idx="0">
                  <c:v>estimated_financial_loss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Inventory_Shrinkage!$A$2:$A$12</c:f>
              <c:strCache>
                <c:ptCount val="11"/>
                <c:pt idx="0">
                  <c:v>Baby Care</c:v>
                </c:pt>
                <c:pt idx="1">
                  <c:v>Personal Care</c:v>
                </c:pt>
                <c:pt idx="2">
                  <c:v>Fruits &amp; Vegetables</c:v>
                </c:pt>
                <c:pt idx="3">
                  <c:v>Dairy &amp; Breakfast</c:v>
                </c:pt>
                <c:pt idx="4">
                  <c:v>Household Care</c:v>
                </c:pt>
                <c:pt idx="5">
                  <c:v>Pharmacy</c:v>
                </c:pt>
                <c:pt idx="6">
                  <c:v>Instant &amp; Frozen Food</c:v>
                </c:pt>
                <c:pt idx="7">
                  <c:v>Pet Care</c:v>
                </c:pt>
                <c:pt idx="8">
                  <c:v>Grocery &amp; Staples</c:v>
                </c:pt>
                <c:pt idx="9">
                  <c:v>Cold Drinks &amp; Juices</c:v>
                </c:pt>
                <c:pt idx="10">
                  <c:v>Snacks &amp; Munchies</c:v>
                </c:pt>
              </c:strCache>
            </c:strRef>
          </c:cat>
          <c:val>
            <c:numRef>
              <c:f>Inventory_Shrinkage!$E$2:$E$12</c:f>
              <c:numCache>
                <c:formatCode>General</c:formatCode>
                <c:ptCount val="11"/>
                <c:pt idx="0">
                  <c:v>17008.28</c:v>
                </c:pt>
                <c:pt idx="1">
                  <c:v>23660.58</c:v>
                </c:pt>
                <c:pt idx="2">
                  <c:v>48318.59</c:v>
                </c:pt>
                <c:pt idx="3">
                  <c:v>58524.73</c:v>
                </c:pt>
                <c:pt idx="4">
                  <c:v>34787.300000000003</c:v>
                </c:pt>
                <c:pt idx="5">
                  <c:v>42103.71</c:v>
                </c:pt>
                <c:pt idx="6">
                  <c:v>24302.02</c:v>
                </c:pt>
                <c:pt idx="7">
                  <c:v>37679.33</c:v>
                </c:pt>
                <c:pt idx="8">
                  <c:v>43556.05</c:v>
                </c:pt>
                <c:pt idx="9">
                  <c:v>28421.16</c:v>
                </c:pt>
                <c:pt idx="10">
                  <c:v>28220.1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B-41CB-A718-0EAA3902E8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7184015"/>
        <c:axId val="1887819855"/>
      </c:barChart>
      <c:catAx>
        <c:axId val="90718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19855"/>
        <c:crosses val="autoZero"/>
        <c:auto val="1"/>
        <c:lblAlgn val="ctr"/>
        <c:lblOffset val="100"/>
        <c:noMultiLvlLbl val="0"/>
      </c:catAx>
      <c:valAx>
        <c:axId val="1887819855"/>
        <c:scaling>
          <c:orientation val="minMax"/>
        </c:scaling>
        <c:delete val="0"/>
        <c:axPos val="b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8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Return on Ad Spend (ROAS) by Channel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Marketing_Efficiency!$F$1</c:f>
              <c:strCache>
                <c:ptCount val="1"/>
                <c:pt idx="0">
                  <c:v>overall_roas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Marketing_Efficiency!$A$2:$A$5</c:f>
              <c:strCache>
                <c:ptCount val="4"/>
                <c:pt idx="0">
                  <c:v>Email</c:v>
                </c:pt>
                <c:pt idx="1">
                  <c:v>Social Media</c:v>
                </c:pt>
                <c:pt idx="2">
                  <c:v>App</c:v>
                </c:pt>
                <c:pt idx="3">
                  <c:v>SMS</c:v>
                </c:pt>
              </c:strCache>
            </c:strRef>
          </c:cat>
          <c:val>
            <c:numRef>
              <c:f>Marketing_Efficiency!$F$2:$F$5</c:f>
              <c:numCache>
                <c:formatCode>General</c:formatCode>
                <c:ptCount val="4"/>
                <c:pt idx="0">
                  <c:v>2.0499999999999998</c:v>
                </c:pt>
                <c:pt idx="1">
                  <c:v>1.94</c:v>
                </c:pt>
                <c:pt idx="2">
                  <c:v>1.92</c:v>
                </c:pt>
                <c:pt idx="3">
                  <c:v>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A-4CE1-8457-13D6AA8DA5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3967407"/>
        <c:axId val="1887927375"/>
      </c:barChart>
      <c:catAx>
        <c:axId val="2033967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927375"/>
        <c:crosses val="autoZero"/>
        <c:auto val="1"/>
        <c:lblAlgn val="ctr"/>
        <c:lblOffset val="100"/>
        <c:noMultiLvlLbl val="0"/>
      </c:catAx>
      <c:valAx>
        <c:axId val="1887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6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35</xdr:col>
      <xdr:colOff>554182</xdr:colOff>
      <xdr:row>43</xdr:row>
      <xdr:rowOff>137711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04CDAEB-A23F-8DA9-F416-52DC927620A4}"/>
            </a:ext>
          </a:extLst>
        </xdr:cNvPr>
        <xdr:cNvSpPr/>
      </xdr:nvSpPr>
      <xdr:spPr>
        <a:xfrm>
          <a:off x="0" y="0"/>
          <a:ext cx="21818101" cy="83858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79511</xdr:colOff>
      <xdr:row>6</xdr:row>
      <xdr:rowOff>181851</xdr:rowOff>
    </xdr:from>
    <xdr:to>
      <xdr:col>27</xdr:col>
      <xdr:colOff>602563</xdr:colOff>
      <xdr:row>42</xdr:row>
      <xdr:rowOff>18780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1D9569D6-9820-FCD7-0B9B-8647D0011F78}"/>
            </a:ext>
          </a:extLst>
        </xdr:cNvPr>
        <xdr:cNvGrpSpPr/>
      </xdr:nvGrpSpPr>
      <xdr:grpSpPr>
        <a:xfrm>
          <a:off x="4331250" y="1584373"/>
          <a:ext cx="12670878" cy="6595537"/>
          <a:chOff x="2462293" y="700636"/>
          <a:chExt cx="12639993" cy="6448788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13A20E7C-83D3-4344-AC8E-D391C4079285}"/>
              </a:ext>
            </a:extLst>
          </xdr:cNvPr>
          <xdr:cNvGraphicFramePr>
            <a:graphicFrameLocks/>
          </xdr:cNvGraphicFramePr>
        </xdr:nvGraphicFramePr>
        <xdr:xfrm>
          <a:off x="2471311" y="3959014"/>
          <a:ext cx="12630975" cy="31904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FA77117-7763-4B72-A01A-BC4EF5175738}"/>
              </a:ext>
            </a:extLst>
          </xdr:cNvPr>
          <xdr:cNvGraphicFramePr>
            <a:graphicFrameLocks/>
          </xdr:cNvGraphicFramePr>
        </xdr:nvGraphicFramePr>
        <xdr:xfrm>
          <a:off x="8608188" y="712308"/>
          <a:ext cx="6483875" cy="31670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9FD71898-DCEE-43DB-9776-7E4A51D1F7C2}"/>
              </a:ext>
            </a:extLst>
          </xdr:cNvPr>
          <xdr:cNvGraphicFramePr>
            <a:graphicFrameLocks/>
          </xdr:cNvGraphicFramePr>
        </xdr:nvGraphicFramePr>
        <xdr:xfrm>
          <a:off x="2462293" y="700636"/>
          <a:ext cx="6097859" cy="31980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42976</xdr:colOff>
      <xdr:row>9</xdr:row>
      <xdr:rowOff>74188</xdr:rowOff>
    </xdr:from>
    <xdr:to>
      <xdr:col>5</xdr:col>
      <xdr:colOff>332982</xdr:colOff>
      <xdr:row>40</xdr:row>
      <xdr:rowOff>10600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B5C5553-2367-1443-8120-62B85F04550C}"/>
            </a:ext>
          </a:extLst>
        </xdr:cNvPr>
        <xdr:cNvGrpSpPr/>
      </xdr:nvGrpSpPr>
      <xdr:grpSpPr>
        <a:xfrm>
          <a:off x="650367" y="2039927"/>
          <a:ext cx="2719572" cy="5756325"/>
          <a:chOff x="-2427" y="1848845"/>
          <a:chExt cx="2176038" cy="5158147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F7FE7D3-4808-E817-339E-BDCC56489682}"/>
              </a:ext>
            </a:extLst>
          </xdr:cNvPr>
          <xdr:cNvGrpSpPr/>
        </xdr:nvGrpSpPr>
        <xdr:grpSpPr>
          <a:xfrm>
            <a:off x="970" y="1848845"/>
            <a:ext cx="2171670" cy="1285754"/>
            <a:chOff x="970" y="1806583"/>
            <a:chExt cx="2171670" cy="1245412"/>
          </a:xfrm>
        </xdr:grpSpPr>
        <xdr:sp macro="" textlink="'Revenue_Margin'!H8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5EB7DD1A-0BDC-4D65-889B-D0065738AE70}"/>
                </a:ext>
              </a:extLst>
            </xdr:cNvPr>
            <xdr:cNvSpPr/>
          </xdr:nvSpPr>
          <xdr:spPr>
            <a:xfrm>
              <a:off x="970" y="1806583"/>
              <a:ext cx="2171670" cy="1245412"/>
            </a:xfrm>
            <a:prstGeom prst="roundRect">
              <a:avLst/>
            </a:prstGeom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D1A3A84-CE20-4539-9DDF-D09CCDC699A0}" type="TxLink">
                <a:rPr lang="en-US" sz="22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pPr algn="ctr"/>
                <a:t>₹ 13,61,602.87</a:t>
              </a:fld>
              <a:endParaRPr lang="en-IN" sz="22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717F41D-DD52-4441-89F8-FC7F51AD44E3}"/>
                </a:ext>
              </a:extLst>
            </xdr:cNvPr>
            <xdr:cNvSpPr txBox="1"/>
          </xdr:nvSpPr>
          <xdr:spPr>
            <a:xfrm>
              <a:off x="45926" y="1816263"/>
              <a:ext cx="1887037" cy="77334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2000" b="1" i="0" u="none">
                  <a:solidFill>
                    <a:schemeClr val="tx1"/>
                  </a:solidFill>
                  <a:latin typeface="Arial Rounded MT Bold" panose="020F0704030504030204" pitchFamily="34" charset="0"/>
                </a:rPr>
                <a:t>Estimated Gross Profit</a:t>
              </a:r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8F712014-63F5-5941-403C-BE9E3121FBE2}"/>
              </a:ext>
            </a:extLst>
          </xdr:cNvPr>
          <xdr:cNvGrpSpPr/>
        </xdr:nvGrpSpPr>
        <xdr:grpSpPr>
          <a:xfrm>
            <a:off x="-2427" y="3785188"/>
            <a:ext cx="2176038" cy="1285753"/>
            <a:chOff x="-2427" y="3685296"/>
            <a:chExt cx="2176038" cy="1245412"/>
          </a:xfrm>
        </xdr:grpSpPr>
        <xdr:sp macro="" textlink="Inventory_Shrinkage!G5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BDDC7DF7-8A6C-4A22-87A2-E2B9AD97A1E1}"/>
                </a:ext>
              </a:extLst>
            </xdr:cNvPr>
            <xdr:cNvSpPr/>
          </xdr:nvSpPr>
          <xdr:spPr>
            <a:xfrm>
              <a:off x="-2427" y="3685296"/>
              <a:ext cx="2176038" cy="1245412"/>
            </a:xfrm>
            <a:prstGeom prst="roundRect">
              <a:avLst/>
            </a:prstGeom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B90F2B76-9297-4BBE-A3AA-0E8A6BAFF1F1}" type="TxLink">
                <a:rPr lang="en-US" sz="22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pPr algn="ctr"/>
                <a:t>3.85%</a:t>
              </a:fld>
              <a:endParaRPr lang="en-IN" sz="22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B9805D6-147F-48B0-8865-EDEDC45A183D}"/>
                </a:ext>
              </a:extLst>
            </xdr:cNvPr>
            <xdr:cNvSpPr txBox="1"/>
          </xdr:nvSpPr>
          <xdr:spPr>
            <a:xfrm>
              <a:off x="35389" y="3715318"/>
              <a:ext cx="2003460" cy="6688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2000" b="1" u="none">
                  <a:solidFill>
                    <a:schemeClr val="tx1"/>
                  </a:solidFill>
                  <a:latin typeface="Arial Rounded MT Bold" panose="020F0704030504030204" pitchFamily="34" charset="0"/>
                </a:rPr>
                <a:t>Inventory Damage Rate (%)</a:t>
              </a:r>
              <a:endParaRPr lang="en-IN" sz="2000" b="1" i="0" u="none">
                <a:solidFill>
                  <a:schemeClr val="tx1"/>
                </a:solidFill>
                <a:latin typeface="Arial Rounded MT Bold" panose="020F0704030504030204" pitchFamily="34" charset="0"/>
              </a:endParaRPr>
            </a:p>
          </xdr:txBody>
        </xdr: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E389D815-6F03-F496-54A2-8737951E949E}"/>
              </a:ext>
            </a:extLst>
          </xdr:cNvPr>
          <xdr:cNvGrpSpPr/>
        </xdr:nvGrpSpPr>
        <xdr:grpSpPr>
          <a:xfrm>
            <a:off x="-1456" y="5721238"/>
            <a:ext cx="2171670" cy="1285754"/>
            <a:chOff x="-1456" y="5557952"/>
            <a:chExt cx="2171670" cy="1245413"/>
          </a:xfrm>
        </xdr:grpSpPr>
        <xdr:sp macro="" textlink="Marketing_Efficiency!H3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3837C552-B779-4EDF-AAEA-5DCBD5D7D2F2}"/>
                </a:ext>
              </a:extLst>
            </xdr:cNvPr>
            <xdr:cNvSpPr/>
          </xdr:nvSpPr>
          <xdr:spPr>
            <a:xfrm>
              <a:off x="-1456" y="5557952"/>
              <a:ext cx="2171670" cy="1245413"/>
            </a:xfrm>
            <a:prstGeom prst="roundRect">
              <a:avLst/>
            </a:prstGeom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41C6A696-3B8B-45F7-BD39-04F37D900BE6}" type="TxLink">
                <a:rPr lang="en-US" sz="22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pPr algn="ctr"/>
                <a:t>₹ 54.76</a:t>
              </a:fld>
              <a:endParaRPr lang="en-IN" sz="22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1BE574D-EDB8-4D35-8C9C-C0C38AA7953F}"/>
                </a:ext>
              </a:extLst>
            </xdr:cNvPr>
            <xdr:cNvSpPr txBox="1"/>
          </xdr:nvSpPr>
          <xdr:spPr>
            <a:xfrm>
              <a:off x="63608" y="5602003"/>
              <a:ext cx="1999440" cy="66733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2000" b="1" u="none">
                  <a:solidFill>
                    <a:schemeClr val="tx1"/>
                  </a:solidFill>
                  <a:latin typeface="Arial Rounded MT Bold" panose="020F0704030504030204" pitchFamily="34" charset="0"/>
                </a:rPr>
                <a:t>Customer Acquisition Cost (CAC)</a:t>
              </a:r>
              <a:endParaRPr lang="en-IN" sz="2000" b="1" i="0" u="none">
                <a:solidFill>
                  <a:schemeClr val="tx1"/>
                </a:solidFill>
                <a:latin typeface="Arial Rounded MT Bold" panose="020F0704030504030204" pitchFamily="34" charset="0"/>
              </a:endParaRPr>
            </a:p>
          </xdr:txBody>
        </xdr:sp>
      </xdr:grpSp>
    </xdr:grpSp>
    <xdr:clientData/>
  </xdr:twoCellAnchor>
  <xdr:twoCellAnchor editAs="oneCell">
    <xdr:from>
      <xdr:col>0</xdr:col>
      <xdr:colOff>121052</xdr:colOff>
      <xdr:row>0</xdr:row>
      <xdr:rowOff>161537</xdr:rowOff>
    </xdr:from>
    <xdr:to>
      <xdr:col>3</xdr:col>
      <xdr:colOff>436669</xdr:colOff>
      <xdr:row>4</xdr:row>
      <xdr:rowOff>125513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B3CA9F5-B7C0-4485-BDA5-24931FEB6F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8800" r="90000">
                      <a14:foregroundMark x1="8800" y1="53000" x2="9600" y2="72000"/>
                      <a14:foregroundMark x1="28000" y1="53000" x2="29600" y2="72000"/>
                      <a14:foregroundMark x1="36400" y1="59000" x2="36400" y2="72000"/>
                      <a14:foregroundMark x1="36400" y1="50500" x2="36400" y2="50500"/>
                      <a14:foregroundMark x1="42400" y1="59500" x2="42400" y2="70500"/>
                      <a14:foregroundMark x1="60400" y1="52500" x2="60400" y2="71500"/>
                      <a14:foregroundMark x1="77600" y1="59000" x2="78400" y2="71500"/>
                      <a14:foregroundMark x1="76800" y1="52000" x2="76800" y2="52000"/>
                      <a14:foregroundMark x1="86400" y1="52500" x2="86800" y2="72000"/>
                      <a14:backgroundMark x1="14400" y1="19500" x2="72800" y2="19500"/>
                      <a14:backgroundMark x1="72800" y1="19500" x2="29600" y2="19000"/>
                      <a14:backgroundMark x1="29600" y1="19000" x2="83200" y2="38000"/>
                      <a14:backgroundMark x1="83200" y1="38000" x2="62000" y2="21000"/>
                      <a14:backgroundMark x1="62000" y1="21000" x2="45600" y2="26500"/>
                    </a14:backgroundRemoval>
                  </a14:imgEffect>
                </a14:imgLayer>
              </a14:imgProps>
            </a:ext>
          </a:extLst>
        </a:blip>
        <a:srcRect t="35368"/>
        <a:stretch>
          <a:fillRect/>
        </a:stretch>
      </xdr:blipFill>
      <xdr:spPr>
        <a:xfrm>
          <a:off x="121052" y="161537"/>
          <a:ext cx="2138239" cy="983408"/>
        </a:xfrm>
        <a:prstGeom prst="rect">
          <a:avLst/>
        </a:prstGeom>
      </xdr:spPr>
    </xdr:pic>
    <xdr:clientData/>
  </xdr:twoCellAnchor>
  <xdr:twoCellAnchor>
    <xdr:from>
      <xdr:col>0</xdr:col>
      <xdr:colOff>90235</xdr:colOff>
      <xdr:row>2</xdr:row>
      <xdr:rowOff>70185</xdr:rowOff>
    </xdr:from>
    <xdr:to>
      <xdr:col>9</xdr:col>
      <xdr:colOff>200525</xdr:colOff>
      <xdr:row>6</xdr:row>
      <xdr:rowOff>60159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C6242E3-961C-A11F-B98B-B941E4AB3D85}"/>
            </a:ext>
          </a:extLst>
        </xdr:cNvPr>
        <xdr:cNvSpPr txBox="1"/>
      </xdr:nvSpPr>
      <xdr:spPr>
        <a:xfrm>
          <a:off x="90235" y="711869"/>
          <a:ext cx="5614737" cy="711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 i="1">
              <a:latin typeface="Microsoft YaHei UI" panose="020B0503020204020204" pitchFamily="34" charset="-122"/>
              <a:ea typeface="Microsoft YaHei UI" panose="020B0503020204020204" pitchFamily="34" charset="-122"/>
            </a:rPr>
            <a:t>Performance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47600</xdr:colOff>
      <xdr:row>20</xdr:row>
      <xdr:rowOff>2122</xdr:rowOff>
    </xdr:from>
    <xdr:to>
      <xdr:col>24</xdr:col>
      <xdr:colOff>560021</xdr:colOff>
      <xdr:row>37</xdr:row>
      <xdr:rowOff>71087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C8C8F3-3E98-46F7-83CB-177ED3FDD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125200</xdr:colOff>
      <xdr:row>2</xdr:row>
      <xdr:rowOff>60477</xdr:rowOff>
    </xdr:from>
    <xdr:to>
      <xdr:col>24</xdr:col>
      <xdr:colOff>549798</xdr:colOff>
      <xdr:row>19</xdr:row>
      <xdr:rowOff>106101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42A6E8-A944-40AC-AA86-46675605E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38582</xdr:colOff>
      <xdr:row>2</xdr:row>
      <xdr:rowOff>48805</xdr:rowOff>
    </xdr:from>
    <xdr:to>
      <xdr:col>14</xdr:col>
      <xdr:colOff>77164</xdr:colOff>
      <xdr:row>19</xdr:row>
      <xdr:rowOff>125393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15E1DB-9E4D-4401-822F-9841C8D3D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146614</xdr:colOff>
      <xdr:row>7</xdr:row>
      <xdr:rowOff>48227</xdr:rowOff>
    </xdr:from>
    <xdr:to>
      <xdr:col>3</xdr:col>
      <xdr:colOff>493854</xdr:colOff>
      <xdr:row>14</xdr:row>
      <xdr:rowOff>38581</xdr:rowOff>
    </xdr:to>
    <xdr:sp macro="" textlink="'Revenue_Margin'!H8">
      <xdr:nvSpPr>
        <xdr:cNvPr id="6" name="Rectangle: Rounded Corners 5">
          <a:extLst>
            <a:ext uri="{FF2B5EF4-FFF2-40B4-BE49-F238E27FC236}">
              <a16:creationId xmlns:a16="http://schemas.microsoft.com/office/drawing/2014/main" id="{8CE2CE2A-C1EB-A880-DB42-9BFD629D943F}"/>
            </a:ext>
          </a:extLst>
        </xdr:cNvPr>
        <xdr:cNvSpPr/>
      </xdr:nvSpPr>
      <xdr:spPr>
        <a:xfrm>
          <a:off x="146614" y="1610809"/>
          <a:ext cx="2170253" cy="127321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5D1A3A84-CE20-4539-9DDF-D09CCDC699A0}" type="TxLink">
            <a:rPr lang="en-US" sz="2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₹ 13,61,602.87</a:t>
          </a:fld>
          <a:endParaRPr lang="en-IN" sz="2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146614</xdr:colOff>
      <xdr:row>15</xdr:row>
      <xdr:rowOff>94526</xdr:rowOff>
    </xdr:from>
    <xdr:to>
      <xdr:col>3</xdr:col>
      <xdr:colOff>493854</xdr:colOff>
      <xdr:row>22</xdr:row>
      <xdr:rowOff>84880</xdr:rowOff>
    </xdr:to>
    <xdr:sp macro="" textlink="Inventory_Shrinkage!G5">
      <xdr:nvSpPr>
        <xdr:cNvPr id="7" name="Rectangle: Rounded Corners 6">
          <a:extLst>
            <a:ext uri="{FF2B5EF4-FFF2-40B4-BE49-F238E27FC236}">
              <a16:creationId xmlns:a16="http://schemas.microsoft.com/office/drawing/2014/main" id="{43972BF5-BAEC-4658-B728-855D9FD887DB}"/>
            </a:ext>
          </a:extLst>
        </xdr:cNvPr>
        <xdr:cNvSpPr/>
      </xdr:nvSpPr>
      <xdr:spPr>
        <a:xfrm>
          <a:off x="146614" y="3123235"/>
          <a:ext cx="2170253" cy="127321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B90F2B76-9297-4BBE-A3AA-0E8A6BAFF1F1}" type="TxLink">
            <a:rPr lang="en-US" sz="2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3.85%</a:t>
          </a:fld>
          <a:endParaRPr lang="en-IN" sz="2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146614</xdr:colOff>
      <xdr:row>23</xdr:row>
      <xdr:rowOff>140825</xdr:rowOff>
    </xdr:from>
    <xdr:to>
      <xdr:col>3</xdr:col>
      <xdr:colOff>493854</xdr:colOff>
      <xdr:row>30</xdr:row>
      <xdr:rowOff>131179</xdr:rowOff>
    </xdr:to>
    <xdr:sp macro="" textlink="Marketing_Efficiency!H3">
      <xdr:nvSpPr>
        <xdr:cNvPr id="8" name="Rectangle: Rounded Corners 7">
          <a:extLst>
            <a:ext uri="{FF2B5EF4-FFF2-40B4-BE49-F238E27FC236}">
              <a16:creationId xmlns:a16="http://schemas.microsoft.com/office/drawing/2014/main" id="{5EFA4E09-8229-4FA2-AD2A-8C015A32472E}"/>
            </a:ext>
          </a:extLst>
        </xdr:cNvPr>
        <xdr:cNvSpPr/>
      </xdr:nvSpPr>
      <xdr:spPr>
        <a:xfrm>
          <a:off x="146614" y="4635660"/>
          <a:ext cx="2170253" cy="127321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41C6A696-3B8B-45F7-BD39-04F37D900BE6}" type="TxLink">
            <a:rPr lang="en-US" sz="2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₹ 54.76</a:t>
          </a:fld>
          <a:endParaRPr lang="en-IN" sz="2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192912</xdr:colOff>
      <xdr:row>7</xdr:row>
      <xdr:rowOff>57874</xdr:rowOff>
    </xdr:from>
    <xdr:to>
      <xdr:col>3</xdr:col>
      <xdr:colOff>405114</xdr:colOff>
      <xdr:row>10</xdr:row>
      <xdr:rowOff>154329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B8FC2A-42D2-EE5C-DA3D-99DEE4D54831}"/>
            </a:ext>
          </a:extLst>
        </xdr:cNvPr>
        <xdr:cNvSpPr txBox="1"/>
      </xdr:nvSpPr>
      <xdr:spPr>
        <a:xfrm>
          <a:off x="192912" y="1620456"/>
          <a:ext cx="2035215" cy="646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>
              <a:solidFill>
                <a:schemeClr val="bg1"/>
              </a:solidFill>
            </a:rPr>
            <a:t>Estimated Gross Profit</a:t>
          </a:r>
        </a:p>
      </xdr:txBody>
    </xdr:sp>
    <xdr:clientData/>
  </xdr:twoCellAnchor>
  <xdr:twoCellAnchor>
    <xdr:from>
      <xdr:col>0</xdr:col>
      <xdr:colOff>212203</xdr:colOff>
      <xdr:row>15</xdr:row>
      <xdr:rowOff>125391</xdr:rowOff>
    </xdr:from>
    <xdr:to>
      <xdr:col>3</xdr:col>
      <xdr:colOff>385823</xdr:colOff>
      <xdr:row>19</xdr:row>
      <xdr:rowOff>77164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545A699-5831-0FD9-1592-6ADF1B52D59D}"/>
            </a:ext>
          </a:extLst>
        </xdr:cNvPr>
        <xdr:cNvSpPr txBox="1"/>
      </xdr:nvSpPr>
      <xdr:spPr>
        <a:xfrm>
          <a:off x="212203" y="3154100"/>
          <a:ext cx="1996633" cy="684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Inventory Damage Rate (%)</a:t>
          </a:r>
          <a:endParaRPr lang="en-IN" sz="1600" b="1" i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212203</xdr:colOff>
      <xdr:row>24</xdr:row>
      <xdr:rowOff>0</xdr:rowOff>
    </xdr:from>
    <xdr:to>
      <xdr:col>3</xdr:col>
      <xdr:colOff>385823</xdr:colOff>
      <xdr:row>27</xdr:row>
      <xdr:rowOff>135038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EE5C8A-26D1-3452-FA76-A4AC4F847706}"/>
            </a:ext>
          </a:extLst>
        </xdr:cNvPr>
        <xdr:cNvSpPr txBox="1"/>
      </xdr:nvSpPr>
      <xdr:spPr>
        <a:xfrm>
          <a:off x="212203" y="4678101"/>
          <a:ext cx="1996633" cy="684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Customer Acquisition Cost (CAC)</a:t>
          </a:r>
          <a:endParaRPr lang="en-IN" sz="1600" b="1" i="0">
            <a:solidFill>
              <a:schemeClr val="bg1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9B63664-86D7-4DD4-BB53-05129238872D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total_orders" tableColumnId="2"/>
      <queryTableField id="3" name="total_revenue" tableColumnId="3"/>
      <queryTableField id="4" name="avg_profit_margin" tableColumnId="4"/>
      <queryTableField id="5" name="estimated_gross_profi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22AD1B4-0AA3-4B1F-8167-618B59E413F4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total_stock_received" tableColumnId="2"/>
      <queryTableField id="3" name="total_damaged_stock" tableColumnId="3"/>
      <queryTableField id="4" name="damage_rate_percentage" tableColumnId="4"/>
      <queryTableField id="5" name="estimated_financial_los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3EBDE73-24A2-4160-92A3-C5A44911BE8B}" autoFormatId="16" applyNumberFormats="0" applyBorderFormats="0" applyFontFormats="0" applyPatternFormats="0" applyAlignmentFormats="0" applyWidthHeightFormats="0">
  <queryTableRefresh nextId="7">
    <queryTableFields count="6">
      <queryTableField id="1" name="channel" tableColumnId="1"/>
      <queryTableField id="2" name="total_spend" tableColumnId="2"/>
      <queryTableField id="3" name="total_revenue" tableColumnId="3"/>
      <queryTableField id="4" name="total_conversions" tableColumnId="4"/>
      <queryTableField id="5" name="customer_acquisition_cost_cac" tableColumnId="5"/>
      <queryTableField id="6" name="overall_roa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1D2E2-79EA-4AEA-923E-42C4DC773B02}" name="Revenue_Margin" displayName="Revenue_Margin" ref="A1:E13" tableType="queryTable" totalsRowCount="1">
  <autoFilter ref="A1:E12" xr:uid="{4381D2E2-79EA-4AEA-923E-42C4DC773B02}"/>
  <tableColumns count="5">
    <tableColumn id="1" xr3:uid="{5B715E97-3464-44F1-A5BE-44C0E63491AD}" uniqueName="1" name="category" queryTableFieldId="1" dataDxfId="5" totalsRowDxfId="2"/>
    <tableColumn id="2" xr3:uid="{EEDC9825-D689-49E4-9189-9D364719D464}" uniqueName="2" name="total_orders" queryTableFieldId="2"/>
    <tableColumn id="3" xr3:uid="{B60188A4-24BF-4178-807C-6349C523DA1A}" uniqueName="3" name="total_revenue" queryTableFieldId="3"/>
    <tableColumn id="4" xr3:uid="{68915DE8-0507-467E-AAEF-B49AD19179FC}" uniqueName="4" name="avg_profit_margin" queryTableFieldId="4"/>
    <tableColumn id="5" xr3:uid="{A79537BE-A5B8-449B-B171-9621903F0956}" uniqueName="5" name="estimated_gross_profit" totalsRowFunction="custom" queryTableFieldId="5">
      <totalsRowFormula>SUM(E2:E12)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73F6BC-C939-4092-B2E6-5A2F5495B4ED}" name="Inventory_Shrinkage" displayName="Inventory_Shrinkage" ref="A1:E13" tableType="queryTable" totalsRowCount="1">
  <autoFilter ref="A1:E12" xr:uid="{5273F6BC-C939-4092-B2E6-5A2F5495B4ED}"/>
  <tableColumns count="5">
    <tableColumn id="1" xr3:uid="{2ABF85AA-A802-4149-A6CA-0E92D504CB64}" uniqueName="1" name="category" queryTableFieldId="1" dataDxfId="4" totalsRowDxfId="1"/>
    <tableColumn id="2" xr3:uid="{9A1672DA-AFF0-40E8-A971-5AE0DDF29B77}" uniqueName="2" name="total_stock_received" totalsRowFunction="custom" queryTableFieldId="2">
      <totalsRowFormula>SUM(B2:B12)</totalsRowFormula>
    </tableColumn>
    <tableColumn id="3" xr3:uid="{4E054623-8C3E-4E1A-B31F-440AEF6AA969}" uniqueName="3" name="total_damaged_stock" totalsRowFunction="custom" queryTableFieldId="3">
      <totalsRowFormula>SUM(C2:C12)</totalsRowFormula>
    </tableColumn>
    <tableColumn id="4" xr3:uid="{B93BF081-5420-4CC8-BAF3-100307CD68FB}" uniqueName="4" name="damage_rate_percentage" queryTableFieldId="4"/>
    <tableColumn id="5" xr3:uid="{9521CA92-89E3-41FB-ABB9-4290EC3AEF6A}" uniqueName="5" name="estimated_financial_los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3D8970-9213-4BA0-B3F9-21F7377169FC}" name="Marketing_Efficiency" displayName="Marketing_Efficiency" ref="A1:F6" tableType="queryTable" totalsRowCount="1">
  <autoFilter ref="A1:F5" xr:uid="{EE3D8970-9213-4BA0-B3F9-21F7377169FC}"/>
  <tableColumns count="6">
    <tableColumn id="1" xr3:uid="{C3C003A2-9D1A-4427-A9E1-264B614590CE}" uniqueName="1" name="channel" queryTableFieldId="1" dataDxfId="3" totalsRowDxfId="0"/>
    <tableColumn id="2" xr3:uid="{11877C16-C4A9-4CC8-934C-03D3C852AF51}" uniqueName="2" name="total_spend" totalsRowFunction="custom" queryTableFieldId="2">
      <totalsRowFormula>SUM(B2:B5)</totalsRowFormula>
    </tableColumn>
    <tableColumn id="3" xr3:uid="{4DDDADD2-71CE-49CC-9B6C-B0DB7789C3C9}" uniqueName="3" name="total_revenue" queryTableFieldId="3"/>
    <tableColumn id="4" xr3:uid="{97D29C3E-32FA-44B0-8F55-0104826DCA7A}" uniqueName="4" name="total_conversions" totalsRowFunction="custom" queryTableFieldId="4">
      <totalsRowFormula>SUM(D2:D5)</totalsRowFormula>
    </tableColumn>
    <tableColumn id="5" xr3:uid="{9CEB1A1B-C006-4E26-9FFD-7750F56C5ABA}" uniqueName="5" name="customer_acquisition_cost_cac" queryTableFieldId="5"/>
    <tableColumn id="6" xr3:uid="{BCE29F78-1F85-4560-8895-E1F29C54ED0A}" uniqueName="6" name="overall_roa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F912-CD71-41AF-B7AD-FBE80E7BA4C7}">
  <sheetPr>
    <tabColor theme="2"/>
  </sheetPr>
  <dimension ref="A1"/>
  <sheetViews>
    <sheetView showGridLines="0" tabSelected="1" zoomScale="69" zoomScaleNormal="74" workbookViewId="0">
      <selection activeCell="J126" sqref="J126"/>
    </sheetView>
  </sheetViews>
  <sheetFormatPr defaultRowHeight="14.4" x14ac:dyDescent="0.3"/>
  <sheetData>
    <row r="1" spans="1:1" ht="36.6" x14ac:dyDescent="0.7">
      <c r="A1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57A5-447B-4C43-B828-7E76192995DE}">
  <dimension ref="A1:H13"/>
  <sheetViews>
    <sheetView workbookViewId="0">
      <selection activeCell="H8" sqref="H8"/>
    </sheetView>
  </sheetViews>
  <sheetFormatPr defaultRowHeight="14.4" x14ac:dyDescent="0.3"/>
  <cols>
    <col min="1" max="1" width="19.109375" bestFit="1" customWidth="1"/>
    <col min="2" max="2" width="13.44140625" bestFit="1" customWidth="1"/>
    <col min="3" max="3" width="15" bestFit="1" customWidth="1"/>
    <col min="4" max="4" width="18.88671875" bestFit="1" customWidth="1"/>
    <col min="5" max="5" width="22.77734375" bestFit="1" customWidth="1"/>
    <col min="8" max="8" width="19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 s="1" t="s">
        <v>5</v>
      </c>
      <c r="B2">
        <v>334</v>
      </c>
      <c r="C2">
        <v>348227.18</v>
      </c>
      <c r="D2">
        <v>30</v>
      </c>
      <c r="E2">
        <v>104468.15</v>
      </c>
    </row>
    <row r="3" spans="1:8" x14ac:dyDescent="0.3">
      <c r="A3" s="1" t="s">
        <v>6</v>
      </c>
      <c r="B3">
        <v>375</v>
      </c>
      <c r="C3">
        <v>392717.62</v>
      </c>
      <c r="D3">
        <v>30</v>
      </c>
      <c r="E3">
        <v>117815.29</v>
      </c>
    </row>
    <row r="4" spans="1:8" x14ac:dyDescent="0.3">
      <c r="A4" s="1" t="s">
        <v>7</v>
      </c>
      <c r="B4">
        <v>566</v>
      </c>
      <c r="C4">
        <v>639222.18999999994</v>
      </c>
      <c r="D4">
        <v>20</v>
      </c>
      <c r="E4">
        <v>127844.44</v>
      </c>
    </row>
    <row r="5" spans="1:8" x14ac:dyDescent="0.3">
      <c r="A5" s="1" t="s">
        <v>8</v>
      </c>
      <c r="B5">
        <v>492</v>
      </c>
      <c r="C5">
        <v>559053.07999999996</v>
      </c>
      <c r="D5">
        <v>25</v>
      </c>
      <c r="E5">
        <v>139763.26999999999</v>
      </c>
    </row>
    <row r="6" spans="1:8" x14ac:dyDescent="0.3">
      <c r="A6" s="1" t="s">
        <v>9</v>
      </c>
      <c r="B6">
        <v>449</v>
      </c>
      <c r="C6">
        <v>359937.82</v>
      </c>
      <c r="D6">
        <v>15</v>
      </c>
      <c r="E6">
        <v>53990.67</v>
      </c>
    </row>
    <row r="7" spans="1:8" x14ac:dyDescent="0.3">
      <c r="A7" s="1" t="s">
        <v>10</v>
      </c>
      <c r="B7">
        <v>509</v>
      </c>
      <c r="C7">
        <v>444244.25</v>
      </c>
      <c r="D7">
        <v>25</v>
      </c>
      <c r="E7">
        <v>111061.06</v>
      </c>
      <c r="H7" t="s">
        <v>30</v>
      </c>
    </row>
    <row r="8" spans="1:8" x14ac:dyDescent="0.3">
      <c r="A8" s="1" t="s">
        <v>11</v>
      </c>
      <c r="B8">
        <v>356</v>
      </c>
      <c r="C8">
        <v>307212.65000000002</v>
      </c>
      <c r="D8">
        <v>40</v>
      </c>
      <c r="E8">
        <v>122885.06</v>
      </c>
      <c r="H8" s="2">
        <f>Revenue_Margin[[#Totals],[estimated_gross_profit]]</f>
        <v>1361602.87</v>
      </c>
    </row>
    <row r="9" spans="1:8" x14ac:dyDescent="0.3">
      <c r="A9" s="1" t="s">
        <v>12</v>
      </c>
      <c r="B9">
        <v>454</v>
      </c>
      <c r="C9">
        <v>394894.61</v>
      </c>
      <c r="D9">
        <v>35</v>
      </c>
      <c r="E9">
        <v>138213.10999999999</v>
      </c>
    </row>
    <row r="10" spans="1:8" x14ac:dyDescent="0.3">
      <c r="A10" s="1" t="s">
        <v>13</v>
      </c>
      <c r="B10">
        <v>501</v>
      </c>
      <c r="C10">
        <v>539888.75</v>
      </c>
      <c r="D10">
        <v>35</v>
      </c>
      <c r="E10">
        <v>188961.06</v>
      </c>
    </row>
    <row r="11" spans="1:8" x14ac:dyDescent="0.3">
      <c r="A11" s="1" t="s">
        <v>14</v>
      </c>
      <c r="B11">
        <v>481</v>
      </c>
      <c r="C11">
        <v>592368.56999999995</v>
      </c>
      <c r="D11">
        <v>20</v>
      </c>
      <c r="E11">
        <v>118473.71</v>
      </c>
    </row>
    <row r="12" spans="1:8" x14ac:dyDescent="0.3">
      <c r="A12" s="1" t="s">
        <v>15</v>
      </c>
      <c r="B12">
        <v>483</v>
      </c>
      <c r="C12">
        <v>394648.71</v>
      </c>
      <c r="D12">
        <v>35</v>
      </c>
      <c r="E12">
        <v>138127.04999999999</v>
      </c>
    </row>
    <row r="13" spans="1:8" x14ac:dyDescent="0.3">
      <c r="A13" s="1"/>
      <c r="E13">
        <f>SUM(E2:E12)</f>
        <v>1361602.87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99DE-9614-43E1-975A-478D6400009C}">
  <dimension ref="A1:G13"/>
  <sheetViews>
    <sheetView workbookViewId="0">
      <selection activeCell="G5" sqref="G5"/>
    </sheetView>
  </sheetViews>
  <sheetFormatPr defaultRowHeight="14.4" x14ac:dyDescent="0.3"/>
  <cols>
    <col min="1" max="1" width="19.109375" bestFit="1" customWidth="1"/>
    <col min="2" max="2" width="20.88671875" bestFit="1" customWidth="1"/>
    <col min="3" max="3" width="21.6640625" bestFit="1" customWidth="1"/>
    <col min="4" max="4" width="25.109375" bestFit="1" customWidth="1"/>
    <col min="5" max="5" width="24.109375" bestFit="1" customWidth="1"/>
    <col min="7" max="7" width="20.33203125" bestFit="1" customWidth="1"/>
  </cols>
  <sheetData>
    <row r="1" spans="1:7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7" x14ac:dyDescent="0.3">
      <c r="A2" s="1" t="s">
        <v>5</v>
      </c>
      <c r="B2">
        <v>1353</v>
      </c>
      <c r="C2">
        <v>51</v>
      </c>
      <c r="D2">
        <v>3.77</v>
      </c>
      <c r="E2">
        <v>17008.28</v>
      </c>
    </row>
    <row r="3" spans="1:7" x14ac:dyDescent="0.3">
      <c r="A3" s="1" t="s">
        <v>12</v>
      </c>
      <c r="B3">
        <v>2511</v>
      </c>
      <c r="C3">
        <v>97</v>
      </c>
      <c r="D3">
        <v>3.86</v>
      </c>
      <c r="E3">
        <v>23660.58</v>
      </c>
    </row>
    <row r="4" spans="1:7" x14ac:dyDescent="0.3">
      <c r="A4" s="1" t="s">
        <v>8</v>
      </c>
      <c r="B4">
        <v>3010</v>
      </c>
      <c r="C4">
        <v>114</v>
      </c>
      <c r="D4">
        <v>3.79</v>
      </c>
      <c r="E4">
        <v>48318.59</v>
      </c>
      <c r="G4" t="s">
        <v>31</v>
      </c>
    </row>
    <row r="5" spans="1:7" x14ac:dyDescent="0.3">
      <c r="A5" s="1" t="s">
        <v>7</v>
      </c>
      <c r="B5">
        <v>3263</v>
      </c>
      <c r="C5">
        <v>125</v>
      </c>
      <c r="D5">
        <v>3.83</v>
      </c>
      <c r="E5">
        <v>58524.73</v>
      </c>
      <c r="G5" s="3">
        <f>Inventory_Shrinkage[[#Totals],[total_damaged_stock]]/Inventory_Shrinkage[[#Totals],[total_stock_received]]</f>
        <v>3.8535042913235347E-2</v>
      </c>
    </row>
    <row r="6" spans="1:7" x14ac:dyDescent="0.3">
      <c r="A6" s="1" t="s">
        <v>10</v>
      </c>
      <c r="B6">
        <v>2559</v>
      </c>
      <c r="C6">
        <v>119</v>
      </c>
      <c r="D6">
        <v>4.6500000000000004</v>
      </c>
      <c r="E6">
        <v>34787.300000000003</v>
      </c>
    </row>
    <row r="7" spans="1:7" x14ac:dyDescent="0.3">
      <c r="A7" s="1" t="s">
        <v>14</v>
      </c>
      <c r="B7">
        <v>2835</v>
      </c>
      <c r="C7">
        <v>88</v>
      </c>
      <c r="D7">
        <v>3.1</v>
      </c>
      <c r="E7">
        <v>42103.71</v>
      </c>
    </row>
    <row r="8" spans="1:7" x14ac:dyDescent="0.3">
      <c r="A8" s="1" t="s">
        <v>11</v>
      </c>
      <c r="B8">
        <v>2246</v>
      </c>
      <c r="C8">
        <v>85</v>
      </c>
      <c r="D8">
        <v>3.78</v>
      </c>
      <c r="E8">
        <v>24302.02</v>
      </c>
    </row>
    <row r="9" spans="1:7" x14ac:dyDescent="0.3">
      <c r="A9" s="1" t="s">
        <v>13</v>
      </c>
      <c r="B9">
        <v>2712</v>
      </c>
      <c r="C9">
        <v>106</v>
      </c>
      <c r="D9">
        <v>3.91</v>
      </c>
      <c r="E9">
        <v>37679.33</v>
      </c>
    </row>
    <row r="10" spans="1:7" x14ac:dyDescent="0.3">
      <c r="A10" s="1" t="s">
        <v>9</v>
      </c>
      <c r="B10">
        <v>2869</v>
      </c>
      <c r="C10">
        <v>128</v>
      </c>
      <c r="D10">
        <v>4.46</v>
      </c>
      <c r="E10">
        <v>43556.05</v>
      </c>
    </row>
    <row r="11" spans="1:7" x14ac:dyDescent="0.3">
      <c r="A11" s="1" t="s">
        <v>6</v>
      </c>
      <c r="B11">
        <v>2426</v>
      </c>
      <c r="C11">
        <v>91</v>
      </c>
      <c r="D11">
        <v>3.75</v>
      </c>
      <c r="E11">
        <v>28421.16</v>
      </c>
    </row>
    <row r="12" spans="1:7" x14ac:dyDescent="0.3">
      <c r="A12" s="1" t="s">
        <v>15</v>
      </c>
      <c r="B12">
        <v>2995</v>
      </c>
      <c r="C12">
        <v>105</v>
      </c>
      <c r="D12">
        <v>3.51</v>
      </c>
      <c r="E12">
        <v>28220.1</v>
      </c>
    </row>
    <row r="13" spans="1:7" x14ac:dyDescent="0.3">
      <c r="A13" s="1"/>
      <c r="B13">
        <f>SUM(B2:B12)</f>
        <v>28779</v>
      </c>
      <c r="C13">
        <f>SUM(C2:C12)</f>
        <v>1109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925B-46F8-4672-B5C8-0092B5F13073}">
  <dimension ref="A1:H6"/>
  <sheetViews>
    <sheetView workbookViewId="0">
      <selection activeCell="H3" sqref="H3"/>
    </sheetView>
  </sheetViews>
  <sheetFormatPr defaultRowHeight="14.4" x14ac:dyDescent="0.3"/>
  <cols>
    <col min="1" max="1" width="11.33203125" bestFit="1" customWidth="1"/>
    <col min="2" max="2" width="13.21875" bestFit="1" customWidth="1"/>
    <col min="3" max="3" width="15" bestFit="1" customWidth="1"/>
    <col min="4" max="4" width="18.21875" bestFit="1" customWidth="1"/>
    <col min="5" max="5" width="29.88671875" bestFit="1" customWidth="1"/>
    <col min="6" max="6" width="13.44140625" bestFit="1" customWidth="1"/>
  </cols>
  <sheetData>
    <row r="1" spans="1:8" x14ac:dyDescent="0.3">
      <c r="A1" t="s">
        <v>20</v>
      </c>
      <c r="B1" t="s">
        <v>21</v>
      </c>
      <c r="C1" t="s">
        <v>2</v>
      </c>
      <c r="D1" t="s">
        <v>22</v>
      </c>
      <c r="E1" t="s">
        <v>23</v>
      </c>
      <c r="F1" t="s">
        <v>24</v>
      </c>
    </row>
    <row r="2" spans="1:8" x14ac:dyDescent="0.3">
      <c r="A2" s="1" t="s">
        <v>25</v>
      </c>
      <c r="B2">
        <v>3997488.04</v>
      </c>
      <c r="C2">
        <v>8189331.5800000001</v>
      </c>
      <c r="D2">
        <v>74671</v>
      </c>
      <c r="E2">
        <v>53.53</v>
      </c>
      <c r="F2">
        <v>2.0499999999999998</v>
      </c>
      <c r="H2" t="s">
        <v>32</v>
      </c>
    </row>
    <row r="3" spans="1:8" x14ac:dyDescent="0.3">
      <c r="A3" s="1" t="s">
        <v>26</v>
      </c>
      <c r="B3">
        <v>4110363.91</v>
      </c>
      <c r="C3">
        <v>7990415.9800000004</v>
      </c>
      <c r="D3">
        <v>74940</v>
      </c>
      <c r="E3">
        <v>54.85</v>
      </c>
      <c r="F3">
        <v>1.94</v>
      </c>
      <c r="H3" s="2">
        <f>Marketing_Efficiency[[#Totals],[total_spend]]/Marketing_Efficiency[[#Totals],[total_conversions]]</f>
        <v>54.757575342741525</v>
      </c>
    </row>
    <row r="4" spans="1:8" x14ac:dyDescent="0.3">
      <c r="A4" s="1" t="s">
        <v>27</v>
      </c>
      <c r="B4">
        <v>4213378.75</v>
      </c>
      <c r="C4">
        <v>8075010.4900000002</v>
      </c>
      <c r="D4">
        <v>75192</v>
      </c>
      <c r="E4">
        <v>56.03</v>
      </c>
      <c r="F4">
        <v>1.92</v>
      </c>
    </row>
    <row r="5" spans="1:8" x14ac:dyDescent="0.3">
      <c r="A5" s="1" t="s">
        <v>28</v>
      </c>
      <c r="B5">
        <v>3998607.54</v>
      </c>
      <c r="C5">
        <v>7938649.3200000003</v>
      </c>
      <c r="D5">
        <v>73235</v>
      </c>
      <c r="E5">
        <v>54.6</v>
      </c>
      <c r="F5">
        <v>1.99</v>
      </c>
    </row>
    <row r="6" spans="1:8" x14ac:dyDescent="0.3">
      <c r="A6" s="1"/>
      <c r="B6">
        <f>SUM(B2:B5)</f>
        <v>16319838.239999998</v>
      </c>
      <c r="D6">
        <f>SUM(D2:D5)</f>
        <v>298038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9408-3AE9-4DDA-8430-873CC5CCBF91}">
  <dimension ref="A1"/>
  <sheetViews>
    <sheetView showGridLines="0" zoomScale="82" zoomScaleNormal="100" workbookViewId="0">
      <selection activeCell="AA23" sqref="AA23"/>
    </sheetView>
  </sheetViews>
  <sheetFormatPr defaultRowHeight="14.4" x14ac:dyDescent="0.3"/>
  <sheetData>
    <row r="1" spans="1:1" ht="36.6" x14ac:dyDescent="0.7">
      <c r="A1" s="4" t="s">
        <v>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8F2949-B062-4877-87F3-AC4E43684E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Revenue_Margin</vt:lpstr>
      <vt:lpstr>Inventory_Shrinkage</vt:lpstr>
      <vt:lpstr>Marketing_Efficiency</vt:lpstr>
      <vt:lpstr>Canvas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S</dc:creator>
  <cp:lastModifiedBy>Tharun S</cp:lastModifiedBy>
  <dcterms:created xsi:type="dcterms:W3CDTF">2026-10-04T06:42:17Z</dcterms:created>
  <dcterms:modified xsi:type="dcterms:W3CDTF">2026-10-04T08:59:27Z</dcterms:modified>
</cp:coreProperties>
</file>